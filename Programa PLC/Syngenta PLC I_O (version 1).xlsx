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D653D2D-83FE-4B42-A929-9CCF551E4A99}" xr6:coauthVersionLast="47" xr6:coauthVersionMax="47" xr10:uidLastSave="{00000000-0000-0000-0000-000000000000}"/>
  <bookViews>
    <workbookView xWindow="28665" yWindow="-135" windowWidth="29070" windowHeight="15750" xr2:uid="{8771A491-1730-4BBE-A639-B1342A44FAA4}"/>
  </bookViews>
  <sheets>
    <sheet name="I_O" sheetId="1" r:id="rId1"/>
    <sheet name="Ethernet Addres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B5" i="1"/>
  <c r="B6" i="1" s="1"/>
  <c r="B7" i="1" s="1"/>
  <c r="B8" i="1" s="1"/>
  <c r="B9" i="1" s="1"/>
  <c r="B10" i="1" l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<sst xmlns="http://schemas.openxmlformats.org/spreadsheetml/2006/main" count="208" uniqueCount="139">
  <si>
    <t>AEC_Sheller_ON</t>
  </si>
  <si>
    <t>Local:1:I.Pt00.Data</t>
  </si>
  <si>
    <t>Compressed_Air</t>
  </si>
  <si>
    <t>Local:1:I.Pt01.Data</t>
  </si>
  <si>
    <t>Local:1:I.Pt02.Data</t>
  </si>
  <si>
    <t>Local:1:I.Pt03.Data</t>
  </si>
  <si>
    <t>Local:1:I.Pt04.Data</t>
  </si>
  <si>
    <t>Dust_Colletor_ON</t>
  </si>
  <si>
    <t>Local:1:I.Pt05.Data</t>
  </si>
  <si>
    <t>Material_Gate_Open_Pos</t>
  </si>
  <si>
    <t>Local:1:I.Pt06.Data</t>
  </si>
  <si>
    <t>Material_Gate_Close_Pos</t>
  </si>
  <si>
    <t>Local:1:I.Pt07.Data</t>
  </si>
  <si>
    <t>Local:1:I.Pt08.Data</t>
  </si>
  <si>
    <t>Local:1:I.Pt09.Data</t>
  </si>
  <si>
    <t>Local:1:I.Pt10.Data</t>
  </si>
  <si>
    <t>Air_Conveyor</t>
  </si>
  <si>
    <t>Local:3:O.Pt03.Data</t>
  </si>
  <si>
    <t>AEC_Material_Sensor</t>
  </si>
  <si>
    <t>Local:1:I.Pt11.Data</t>
  </si>
  <si>
    <t>Local:1:I.Pt12.Data</t>
  </si>
  <si>
    <t>Local:3:O.Pt04.Data</t>
  </si>
  <si>
    <t>Local:3:O.Pt05.Data</t>
  </si>
  <si>
    <t>R12_Hopper_Sensor</t>
  </si>
  <si>
    <t>Local:1:I.Pt13.Data</t>
  </si>
  <si>
    <t>R12_Envelop_Present_Sensor</t>
  </si>
  <si>
    <t>Local:1:I.Pt14.Data</t>
  </si>
  <si>
    <t>AEC_Sheller_Run_Command</t>
  </si>
  <si>
    <t>Local:3:O.Pt00.Data</t>
  </si>
  <si>
    <t>AEC_Sheller_Stop_Command</t>
  </si>
  <si>
    <t>Local:3:O.Pt01.Data</t>
  </si>
  <si>
    <t>Material_Gate_Open</t>
  </si>
  <si>
    <t>Local:3:O.Pt02.Data</t>
  </si>
  <si>
    <t>Local:3:O.Pt06.Data</t>
  </si>
  <si>
    <t>IN0</t>
  </si>
  <si>
    <t>IN1</t>
  </si>
  <si>
    <t>IN2</t>
  </si>
  <si>
    <t>IN3</t>
  </si>
  <si>
    <t>IN4</t>
  </si>
  <si>
    <t>IN5</t>
  </si>
  <si>
    <t>IN6</t>
  </si>
  <si>
    <t>IN7</t>
  </si>
  <si>
    <t>IN8</t>
  </si>
  <si>
    <t>IN9</t>
  </si>
  <si>
    <t>IN10</t>
  </si>
  <si>
    <t>IN11</t>
  </si>
  <si>
    <t>IN12</t>
  </si>
  <si>
    <t>IN13</t>
  </si>
  <si>
    <t>IN14</t>
  </si>
  <si>
    <t>IN15</t>
  </si>
  <si>
    <t>RED</t>
  </si>
  <si>
    <t>WHITE</t>
  </si>
  <si>
    <t>YELLOW</t>
  </si>
  <si>
    <t>ORANGE</t>
  </si>
  <si>
    <t>BROWN</t>
  </si>
  <si>
    <t>BLUE</t>
  </si>
  <si>
    <t>VIOLET</t>
  </si>
  <si>
    <t>PINK</t>
  </si>
  <si>
    <t>BRONCE</t>
  </si>
  <si>
    <t>GREY</t>
  </si>
  <si>
    <t>GREEN</t>
  </si>
  <si>
    <t>WT/BLK</t>
  </si>
  <si>
    <t>WT/RED</t>
  </si>
  <si>
    <t>BLACK</t>
  </si>
  <si>
    <t>WT/YOW</t>
  </si>
  <si>
    <t>WT/ORG</t>
  </si>
  <si>
    <t>Alias</t>
  </si>
  <si>
    <t>Cable Color</t>
  </si>
  <si>
    <t>Cable #</t>
  </si>
  <si>
    <t>PLC Address</t>
  </si>
  <si>
    <t>Input</t>
  </si>
  <si>
    <t>Local:1:I.Pt15.Data</t>
  </si>
  <si>
    <t>SPARE</t>
  </si>
  <si>
    <t>Local:2:I.Pt00.Data</t>
  </si>
  <si>
    <t>Local:2:I.Pt01.Data</t>
  </si>
  <si>
    <t>Local:2:I.Pt02.Data</t>
  </si>
  <si>
    <t>Local:2:I.Pt03.Data</t>
  </si>
  <si>
    <t>Local:2:I.Pt04.Data</t>
  </si>
  <si>
    <t>Local:2:I.Pt05.Data</t>
  </si>
  <si>
    <t>Local:2:I.Pt06.Data</t>
  </si>
  <si>
    <t>Local:2:I.Pt07.Data</t>
  </si>
  <si>
    <t>Local:2:I.Pt08.Data</t>
  </si>
  <si>
    <t>Local:2:I.Pt09.Data</t>
  </si>
  <si>
    <t>Local:2:I.Pt10.Data</t>
  </si>
  <si>
    <t>Local:2:I.Pt11.Data</t>
  </si>
  <si>
    <t>Local:2:I.Pt12.Data</t>
  </si>
  <si>
    <t>Local:2:I.Pt13.Data</t>
  </si>
  <si>
    <t>Local:2:I.Pt14.Data</t>
  </si>
  <si>
    <t>Local:2:I.Pt15.Data</t>
  </si>
  <si>
    <t>OUT0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</si>
  <si>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</si>
  <si>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</si>
  <si>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</si>
  <si>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</si>
  <si>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</si>
  <si>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</si>
  <si>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</si>
  <si>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</si>
  <si>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</si>
  <si>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</si>
  <si>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</si>
  <si>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</si>
  <si>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</si>
  <si>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</si>
  <si>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</si>
  <si>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Slot 1 5069-IB16</t>
  </si>
  <si>
    <t>Slot 2  5069-IB16</t>
  </si>
  <si>
    <t>Slot 3  5069-OB16</t>
  </si>
  <si>
    <t>Output</t>
  </si>
  <si>
    <t>Aspirator_Gate</t>
  </si>
  <si>
    <t>Seed_Treater_R12_Running</t>
  </si>
  <si>
    <t>Aspiration_Gate_Open</t>
  </si>
  <si>
    <t>Aspiration_Gate_Close</t>
  </si>
  <si>
    <t>Local:3:O.Pt07.Data</t>
  </si>
  <si>
    <t>R12_Ready</t>
  </si>
  <si>
    <t>R12_Gate_Open_Pos</t>
  </si>
  <si>
    <t>R12_Gate_Close_Pos</t>
  </si>
  <si>
    <t>R12_Hopper_Gate</t>
  </si>
  <si>
    <t>Aspirator_Hopper_Gate</t>
  </si>
  <si>
    <t>Aspirator_Hopper_Sensor</t>
  </si>
  <si>
    <t>Aspirator_Hooper_Gate_Close_Pos</t>
  </si>
  <si>
    <t>Aspirator_Hooper_Gate_Open_Pos</t>
  </si>
  <si>
    <t>IP</t>
  </si>
  <si>
    <t>Equipment</t>
  </si>
  <si>
    <t>PLC</t>
  </si>
  <si>
    <t>Panelview 1</t>
  </si>
  <si>
    <t>Panelview 2</t>
  </si>
  <si>
    <t>Printer</t>
  </si>
  <si>
    <t>Vmek</t>
  </si>
  <si>
    <t>R12</t>
  </si>
  <si>
    <t>192.168.101.100</t>
  </si>
  <si>
    <t xml:space="preserve">192.168.101.105 </t>
  </si>
  <si>
    <t>192.168.101.106</t>
  </si>
  <si>
    <t>192.168.101.96</t>
  </si>
  <si>
    <t>192.168.101.103</t>
  </si>
  <si>
    <t>192.168.101.104</t>
  </si>
  <si>
    <t>192.168.101.102</t>
  </si>
  <si>
    <t>Edge Gateway Optix</t>
  </si>
  <si>
    <t>R12_Permit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</si>
</sst>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DFF0-5462-475B-9C24-FD9954EC25D4}">
  <dimension ref="B1:R19"/>
  <sheetViews>
    <sheetView tabSelected="1" workbookViewId="0">
      <selection activeCell="E14" sqref="E14"/>
    </sheetView>
  </sheetViews>
  <sheetFormatPr defaultRowHeight="14.4" x14ac:dyDescent="0.3"/>
  <cols>
    <col min="1" max="1" width="2.21875" customWidth="1"/>
    <col min="2" max="3" width="8.88671875" style="1"/>
    <col min="4" max="4" width="8.6640625" style="10" customWidth="1"/>
    <col min="5" max="5" width="26.21875" style="10" customWidth="1"/>
    <col min="6" max="6" width="19.6640625" style="10" customWidth="1"/>
    <col min="7" max="7" width="1.77734375" customWidth="1"/>
    <col min="10" max="10" width="9.6640625" style="10" customWidth="1"/>
    <col min="11" max="11" width="30.88671875" style="10" customWidth="1"/>
    <col min="12" max="12" width="17.33203125" style="10" customWidth="1"/>
    <col min="13" max="13" width="2.33203125" customWidth="1"/>
    <col min="15" max="15" width="11.33203125" customWidth="1"/>
    <col min="16" max="16" width="8.5546875" style="10" customWidth="1"/>
    <col min="17" max="17" width="25" style="10" customWidth="1"/>
    <col min="18" max="18" width="18.44140625" style="10" customWidth="1"/>
  </cols>
  <sheetData>
    <row r="1" spans="2:18" ht="15" thickBot="1" x14ac:dyDescent="0.35"/>
    <row r="2" spans="2:18" x14ac:dyDescent="0.3">
      <c r="B2" s="14" t="s">
        <v>105</v>
      </c>
      <c r="C2" s="15"/>
      <c r="D2" s="15"/>
      <c r="E2" s="15"/>
      <c r="F2" s="15"/>
      <c r="G2" s="5"/>
      <c r="H2" s="15" t="s">
        <v>106</v>
      </c>
      <c r="I2" s="15"/>
      <c r="J2" s="15"/>
      <c r="K2" s="15"/>
      <c r="L2" s="16"/>
      <c r="M2" s="5"/>
      <c r="N2" s="14" t="s">
        <v>107</v>
      </c>
      <c r="O2" s="15"/>
      <c r="P2" s="15"/>
      <c r="Q2" s="15"/>
      <c r="R2" s="16"/>
    </row>
    <row r="3" spans="2:18" x14ac:dyDescent="0.3">
      <c r="B3" s="2" t="s">
        <v>68</v>
      </c>
      <c r="C3" s="1" t="s">
        <v>70</v>
      </c>
      <c r="D3" s="10" t="s">
        <v>67</v>
      </c>
      <c r="E3" s="10" t="s">
        <v>66</v>
      </c>
      <c r="F3" s="10" t="s">
        <v>69</v>
      </c>
      <c r="G3" s="6"/>
      <c r="H3" s="1" t="s">
        <v>68</v>
      </c>
      <c r="I3" s="1" t="s">
        <v>70</v>
      </c>
      <c r="J3" s="10" t="s">
        <v>67</v>
      </c>
      <c r="K3" s="10" t="s">
        <v>66</v>
      </c>
      <c r="L3" s="12" t="s">
        <v>69</v>
      </c>
      <c r="M3" s="8"/>
      <c r="N3" s="2" t="s">
        <v>68</v>
      </c>
      <c r="O3" s="1" t="s">
        <v>108</v>
      </c>
      <c r="P3" s="10" t="s">
        <v>67</v>
      </c>
      <c r="Q3" s="10" t="s">
        <v>66</v>
      </c>
      <c r="R3" s="12"/>
    </row>
    <row r="4" spans="2:18" x14ac:dyDescent="0.3">
      <c r="B4" s="2">
        <v>100</v>
      </c>
      <c r="C4" s="1" t="s">
        <v>34</v>
      </c>
      <c r="D4" s="10" t="s">
        <v>63</v>
      </c>
      <c r="E4" s="10" t="s">
        <v>0</v>
      </c>
      <c r="F4" s="10" t="s">
        <v>1</v>
      </c>
      <c r="G4" s="6"/>
      <c r="H4" s="1">
        <v>200</v>
      </c>
      <c r="I4" s="1" t="s">
        <v>34</v>
      </c>
      <c r="J4" s="10" t="s">
        <v>63</v>
      </c>
      <c r="K4" s="17" t="s">
        <v>120</v>
      </c>
      <c r="L4" s="12" t="s">
        <v>73</v>
      </c>
      <c r="M4" s="8"/>
      <c r="N4" s="2">
        <v>300</v>
      </c>
      <c r="O4" s="1" t="s">
        <v>89</v>
      </c>
      <c r="P4" s="10" t="s">
        <v>63</v>
      </c>
      <c r="Q4" s="10" t="s">
        <v>27</v>
      </c>
      <c r="R4" s="12" t="s">
        <v>28</v>
      </c>
    </row>
    <row r="5" spans="2:18" x14ac:dyDescent="0.3">
      <c r="B5" s="2">
        <f>+B4+1</f>
        <v>101</v>
      </c>
      <c r="C5" s="1" t="s">
        <v>35</v>
      </c>
      <c r="D5" s="10" t="s">
        <v>50</v>
      </c>
      <c r="E5" s="10" t="s">
        <v>2</v>
      </c>
      <c r="F5" s="10" t="s">
        <v>3</v>
      </c>
      <c r="G5" s="6"/>
      <c r="H5" s="1">
        <f>+H4+1</f>
        <v>201</v>
      </c>
      <c r="I5" s="1" t="s">
        <v>35</v>
      </c>
      <c r="J5" s="10" t="s">
        <v>50</v>
      </c>
      <c r="K5" s="17" t="s">
        <v>121</v>
      </c>
      <c r="L5" s="12" t="s">
        <v>74</v>
      </c>
      <c r="M5" s="8"/>
      <c r="N5" s="2">
        <f>+N4+1</f>
        <v>301</v>
      </c>
      <c r="O5" s="1" t="s">
        <v>90</v>
      </c>
      <c r="P5" s="10" t="s">
        <v>50</v>
      </c>
      <c r="Q5" s="10" t="s">
        <v>29</v>
      </c>
      <c r="R5" s="12" t="s">
        <v>30</v>
      </c>
    </row>
    <row r="6" spans="2:18" x14ac:dyDescent="0.3">
      <c r="B6" s="2">
        <f t="shared" ref="B6:B19" si="0">+B5+1</f>
        <v>102</v>
      </c>
      <c r="C6" s="1" t="s">
        <v>36</v>
      </c>
      <c r="D6" s="10" t="s">
        <v>51</v>
      </c>
      <c r="E6" s="10" t="s">
        <v>7</v>
      </c>
      <c r="F6" s="10" t="s">
        <v>4</v>
      </c>
      <c r="G6" s="6"/>
      <c r="H6" s="1">
        <f t="shared" ref="H6:H18" si="1">+H5+1</f>
        <v>202</v>
      </c>
      <c r="I6" s="1" t="s">
        <v>36</v>
      </c>
      <c r="J6" s="10" t="s">
        <v>51</v>
      </c>
      <c r="K6" s="10" t="s">
        <v>72</v>
      </c>
      <c r="L6" s="12" t="s">
        <v>75</v>
      </c>
      <c r="M6" s="8"/>
      <c r="N6" s="2">
        <f t="shared" ref="N6:N18" si="2">+N5+1</f>
        <v>302</v>
      </c>
      <c r="O6" s="1" t="s">
        <v>91</v>
      </c>
      <c r="P6" s="10" t="s">
        <v>51</v>
      </c>
      <c r="Q6" s="10" t="s">
        <v>138</v>
      </c>
      <c r="R6" s="12" t="s">
        <v>32</v>
      </c>
    </row>
    <row r="7" spans="2:18" x14ac:dyDescent="0.3">
      <c r="B7" s="2">
        <f t="shared" si="0"/>
        <v>103</v>
      </c>
      <c r="C7" s="1" t="s">
        <v>37</v>
      </c>
      <c r="D7" s="10" t="s">
        <v>52</v>
      </c>
      <c r="E7" s="10" t="s">
        <v>110</v>
      </c>
      <c r="F7" s="10" t="s">
        <v>5</v>
      </c>
      <c r="G7" s="6"/>
      <c r="H7" s="1">
        <f t="shared" si="1"/>
        <v>203</v>
      </c>
      <c r="I7" s="1" t="s">
        <v>37</v>
      </c>
      <c r="J7" s="10" t="s">
        <v>52</v>
      </c>
      <c r="K7" s="10" t="s">
        <v>72</v>
      </c>
      <c r="L7" s="12" t="s">
        <v>76</v>
      </c>
      <c r="M7" s="8"/>
      <c r="N7" s="2">
        <f t="shared" si="2"/>
        <v>303</v>
      </c>
      <c r="O7" s="1" t="s">
        <v>92</v>
      </c>
      <c r="P7" s="10" t="s">
        <v>52</v>
      </c>
      <c r="Q7" s="10" t="s">
        <v>31</v>
      </c>
      <c r="R7" s="12" t="s">
        <v>17</v>
      </c>
    </row>
    <row r="8" spans="2:18" x14ac:dyDescent="0.3">
      <c r="B8" s="2">
        <f t="shared" si="0"/>
        <v>104</v>
      </c>
      <c r="C8" s="1" t="s">
        <v>38</v>
      </c>
      <c r="D8" s="10" t="s">
        <v>53</v>
      </c>
      <c r="E8" s="17" t="s">
        <v>9</v>
      </c>
      <c r="F8" s="10" t="s">
        <v>6</v>
      </c>
      <c r="G8" s="6"/>
      <c r="H8" s="1">
        <f t="shared" si="1"/>
        <v>204</v>
      </c>
      <c r="I8" s="1" t="s">
        <v>38</v>
      </c>
      <c r="J8" s="10" t="s">
        <v>53</v>
      </c>
      <c r="K8" s="10" t="s">
        <v>72</v>
      </c>
      <c r="L8" s="12" t="s">
        <v>77</v>
      </c>
      <c r="M8" s="8"/>
      <c r="N8" s="2">
        <f t="shared" si="2"/>
        <v>304</v>
      </c>
      <c r="O8" s="1" t="s">
        <v>93</v>
      </c>
      <c r="P8" s="10" t="s">
        <v>53</v>
      </c>
      <c r="Q8" s="10" t="s">
        <v>16</v>
      </c>
      <c r="R8" s="12" t="s">
        <v>21</v>
      </c>
    </row>
    <row r="9" spans="2:18" x14ac:dyDescent="0.3">
      <c r="B9" s="2">
        <f>+B8+1</f>
        <v>105</v>
      </c>
      <c r="C9" s="1" t="s">
        <v>39</v>
      </c>
      <c r="D9" s="10" t="s">
        <v>54</v>
      </c>
      <c r="E9" s="17" t="s">
        <v>11</v>
      </c>
      <c r="F9" s="10" t="s">
        <v>8</v>
      </c>
      <c r="G9" s="6"/>
      <c r="H9" s="1">
        <f t="shared" si="1"/>
        <v>205</v>
      </c>
      <c r="I9" s="1" t="s">
        <v>39</v>
      </c>
      <c r="J9" s="10" t="s">
        <v>54</v>
      </c>
      <c r="K9" s="10" t="s">
        <v>72</v>
      </c>
      <c r="L9" s="12" t="s">
        <v>78</v>
      </c>
      <c r="M9" s="8"/>
      <c r="N9" s="2">
        <f t="shared" si="2"/>
        <v>305</v>
      </c>
      <c r="O9" s="1" t="s">
        <v>94</v>
      </c>
      <c r="P9" s="10" t="s">
        <v>54</v>
      </c>
      <c r="Q9" s="10" t="s">
        <v>118</v>
      </c>
      <c r="R9" s="12" t="s">
        <v>22</v>
      </c>
    </row>
    <row r="10" spans="2:18" x14ac:dyDescent="0.3">
      <c r="B10" s="2">
        <f t="shared" si="0"/>
        <v>106</v>
      </c>
      <c r="C10" s="1" t="s">
        <v>40</v>
      </c>
      <c r="D10" s="10" t="s">
        <v>55</v>
      </c>
      <c r="F10" s="10" t="s">
        <v>10</v>
      </c>
      <c r="G10" s="6"/>
      <c r="H10" s="1">
        <f t="shared" si="1"/>
        <v>206</v>
      </c>
      <c r="I10" s="1" t="s">
        <v>40</v>
      </c>
      <c r="J10" s="10" t="s">
        <v>55</v>
      </c>
      <c r="K10" s="10" t="s">
        <v>72</v>
      </c>
      <c r="L10" s="12" t="s">
        <v>79</v>
      </c>
      <c r="M10" s="8"/>
      <c r="N10" s="2">
        <f t="shared" si="2"/>
        <v>306</v>
      </c>
      <c r="O10" s="1" t="s">
        <v>95</v>
      </c>
      <c r="P10" s="10" t="s">
        <v>55</v>
      </c>
      <c r="Q10" s="10" t="s">
        <v>109</v>
      </c>
      <c r="R10" s="12" t="s">
        <v>33</v>
      </c>
    </row>
    <row r="11" spans="2:18" x14ac:dyDescent="0.3">
      <c r="B11" s="2">
        <f t="shared" si="0"/>
        <v>107</v>
      </c>
      <c r="C11" s="1" t="s">
        <v>41</v>
      </c>
      <c r="D11" s="10" t="s">
        <v>56</v>
      </c>
      <c r="E11" s="10" t="s">
        <v>18</v>
      </c>
      <c r="F11" s="10" t="s">
        <v>12</v>
      </c>
      <c r="G11" s="6"/>
      <c r="H11" s="1">
        <f t="shared" si="1"/>
        <v>207</v>
      </c>
      <c r="I11" s="1" t="s">
        <v>41</v>
      </c>
      <c r="J11" s="10" t="s">
        <v>56</v>
      </c>
      <c r="K11" s="10" t="s">
        <v>72</v>
      </c>
      <c r="L11" s="12" t="s">
        <v>80</v>
      </c>
      <c r="M11" s="8"/>
      <c r="N11" s="2">
        <f t="shared" si="2"/>
        <v>307</v>
      </c>
      <c r="O11" s="1" t="s">
        <v>96</v>
      </c>
      <c r="P11" s="10" t="s">
        <v>56</v>
      </c>
      <c r="Q11" s="10" t="s">
        <v>117</v>
      </c>
      <c r="R11" s="12" t="s">
        <v>113</v>
      </c>
    </row>
    <row r="12" spans="2:18" x14ac:dyDescent="0.3">
      <c r="B12" s="2">
        <f t="shared" si="0"/>
        <v>108</v>
      </c>
      <c r="C12" s="1" t="s">
        <v>42</v>
      </c>
      <c r="D12" s="10" t="s">
        <v>57</v>
      </c>
      <c r="E12" s="10" t="s">
        <v>111</v>
      </c>
      <c r="F12" s="10" t="s">
        <v>13</v>
      </c>
      <c r="G12" s="6"/>
      <c r="H12" s="1">
        <f t="shared" si="1"/>
        <v>208</v>
      </c>
      <c r="I12" s="1" t="s">
        <v>42</v>
      </c>
      <c r="J12" s="10" t="s">
        <v>57</v>
      </c>
      <c r="K12" s="10" t="s">
        <v>72</v>
      </c>
      <c r="L12" s="12" t="s">
        <v>81</v>
      </c>
      <c r="M12" s="8"/>
      <c r="N12" s="2">
        <f t="shared" si="2"/>
        <v>308</v>
      </c>
      <c r="O12" s="1" t="s">
        <v>97</v>
      </c>
      <c r="P12" s="10" t="s">
        <v>57</v>
      </c>
      <c r="R12" s="12"/>
    </row>
    <row r="13" spans="2:18" x14ac:dyDescent="0.3">
      <c r="B13" s="2">
        <f t="shared" si="0"/>
        <v>109</v>
      </c>
      <c r="C13" s="1" t="s">
        <v>43</v>
      </c>
      <c r="D13" s="10" t="s">
        <v>58</v>
      </c>
      <c r="E13" s="10" t="s">
        <v>112</v>
      </c>
      <c r="F13" s="10" t="s">
        <v>14</v>
      </c>
      <c r="G13" s="6"/>
      <c r="H13" s="1">
        <f t="shared" si="1"/>
        <v>209</v>
      </c>
      <c r="I13" s="1" t="s">
        <v>43</v>
      </c>
      <c r="J13" s="10" t="s">
        <v>58</v>
      </c>
      <c r="K13" s="10" t="s">
        <v>72</v>
      </c>
      <c r="L13" s="12" t="s">
        <v>82</v>
      </c>
      <c r="M13" s="8"/>
      <c r="N13" s="2">
        <f t="shared" si="2"/>
        <v>309</v>
      </c>
      <c r="O13" s="1" t="s">
        <v>98</v>
      </c>
      <c r="P13" s="10" t="s">
        <v>58</v>
      </c>
      <c r="R13" s="12"/>
    </row>
    <row r="14" spans="2:18" x14ac:dyDescent="0.3">
      <c r="B14" s="2">
        <f t="shared" si="0"/>
        <v>110</v>
      </c>
      <c r="C14" s="1" t="s">
        <v>44</v>
      </c>
      <c r="D14" s="10" t="s">
        <v>59</v>
      </c>
      <c r="E14" s="10" t="s">
        <v>119</v>
      </c>
      <c r="F14" s="10" t="s">
        <v>15</v>
      </c>
      <c r="G14" s="6"/>
      <c r="H14" s="1">
        <f t="shared" si="1"/>
        <v>210</v>
      </c>
      <c r="I14" s="1" t="s">
        <v>44</v>
      </c>
      <c r="J14" s="10" t="s">
        <v>59</v>
      </c>
      <c r="K14" s="10" t="s">
        <v>72</v>
      </c>
      <c r="L14" s="12" t="s">
        <v>83</v>
      </c>
      <c r="M14" s="8"/>
      <c r="N14" s="2">
        <f t="shared" si="2"/>
        <v>310</v>
      </c>
      <c r="O14" s="1" t="s">
        <v>99</v>
      </c>
      <c r="P14" s="10" t="s">
        <v>59</v>
      </c>
      <c r="R14" s="12"/>
    </row>
    <row r="15" spans="2:18" x14ac:dyDescent="0.3">
      <c r="B15" s="2">
        <f t="shared" si="0"/>
        <v>111</v>
      </c>
      <c r="C15" s="1" t="s">
        <v>45</v>
      </c>
      <c r="D15" s="10" t="s">
        <v>60</v>
      </c>
      <c r="E15" s="10" t="s">
        <v>23</v>
      </c>
      <c r="F15" s="10" t="s">
        <v>19</v>
      </c>
      <c r="G15" s="6"/>
      <c r="H15" s="1">
        <f t="shared" si="1"/>
        <v>211</v>
      </c>
      <c r="I15" s="1" t="s">
        <v>45</v>
      </c>
      <c r="J15" s="10" t="s">
        <v>60</v>
      </c>
      <c r="K15" s="10" t="s">
        <v>72</v>
      </c>
      <c r="L15" s="12" t="s">
        <v>84</v>
      </c>
      <c r="M15" s="8"/>
      <c r="N15" s="2">
        <f t="shared" si="2"/>
        <v>311</v>
      </c>
      <c r="O15" s="1" t="s">
        <v>100</v>
      </c>
      <c r="P15" s="10" t="s">
        <v>60</v>
      </c>
      <c r="R15" s="12"/>
    </row>
    <row r="16" spans="2:18" x14ac:dyDescent="0.3">
      <c r="B16" s="2">
        <f t="shared" si="0"/>
        <v>112</v>
      </c>
      <c r="C16" s="1" t="s">
        <v>46</v>
      </c>
      <c r="D16" s="10" t="s">
        <v>61</v>
      </c>
      <c r="E16" s="17" t="s">
        <v>115</v>
      </c>
      <c r="F16" s="10" t="s">
        <v>20</v>
      </c>
      <c r="G16" s="6"/>
      <c r="H16" s="1">
        <f t="shared" si="1"/>
        <v>212</v>
      </c>
      <c r="I16" s="1" t="s">
        <v>46</v>
      </c>
      <c r="J16" s="10" t="s">
        <v>61</v>
      </c>
      <c r="K16" s="10" t="s">
        <v>72</v>
      </c>
      <c r="L16" s="12" t="s">
        <v>85</v>
      </c>
      <c r="M16" s="8"/>
      <c r="N16" s="2">
        <f t="shared" si="2"/>
        <v>312</v>
      </c>
      <c r="O16" s="1" t="s">
        <v>101</v>
      </c>
      <c r="P16" s="10" t="s">
        <v>61</v>
      </c>
      <c r="R16" s="12"/>
    </row>
    <row r="17" spans="2:18" x14ac:dyDescent="0.3">
      <c r="B17" s="2">
        <f t="shared" si="0"/>
        <v>113</v>
      </c>
      <c r="C17" s="1" t="s">
        <v>47</v>
      </c>
      <c r="D17" s="10" t="s">
        <v>62</v>
      </c>
      <c r="E17" s="17" t="s">
        <v>116</v>
      </c>
      <c r="F17" s="10" t="s">
        <v>24</v>
      </c>
      <c r="G17" s="6"/>
      <c r="H17" s="1">
        <f t="shared" si="1"/>
        <v>213</v>
      </c>
      <c r="I17" s="1" t="s">
        <v>47</v>
      </c>
      <c r="J17" s="10" t="s">
        <v>62</v>
      </c>
      <c r="K17" s="10" t="s">
        <v>72</v>
      </c>
      <c r="L17" s="12" t="s">
        <v>86</v>
      </c>
      <c r="M17" s="8"/>
      <c r="N17" s="2">
        <f t="shared" si="2"/>
        <v>313</v>
      </c>
      <c r="O17" s="1" t="s">
        <v>102</v>
      </c>
      <c r="P17" s="10" t="s">
        <v>62</v>
      </c>
      <c r="R17" s="12"/>
    </row>
    <row r="18" spans="2:18" x14ac:dyDescent="0.3">
      <c r="B18" s="2">
        <f t="shared" si="0"/>
        <v>114</v>
      </c>
      <c r="C18" s="1" t="s">
        <v>48</v>
      </c>
      <c r="D18" s="10" t="s">
        <v>64</v>
      </c>
      <c r="E18" s="10" t="s">
        <v>114</v>
      </c>
      <c r="F18" s="10" t="s">
        <v>26</v>
      </c>
      <c r="G18" s="6"/>
      <c r="H18" s="1">
        <f t="shared" si="1"/>
        <v>214</v>
      </c>
      <c r="I18" s="1" t="s">
        <v>48</v>
      </c>
      <c r="J18" s="10" t="s">
        <v>64</v>
      </c>
      <c r="K18" s="10" t="s">
        <v>72</v>
      </c>
      <c r="L18" s="12" t="s">
        <v>87</v>
      </c>
      <c r="M18" s="8"/>
      <c r="N18" s="2">
        <f t="shared" si="2"/>
        <v>314</v>
      </c>
      <c r="O18" s="1" t="s">
        <v>103</v>
      </c>
      <c r="P18" s="10" t="s">
        <v>64</v>
      </c>
      <c r="R18" s="12"/>
    </row>
    <row r="19" spans="2:18" ht="15" thickBot="1" x14ac:dyDescent="0.35">
      <c r="B19" s="3">
        <f t="shared" si="0"/>
        <v>115</v>
      </c>
      <c r="C19" s="4" t="s">
        <v>49</v>
      </c>
      <c r="D19" s="11" t="s">
        <v>65</v>
      </c>
      <c r="E19" s="11" t="s">
        <v>25</v>
      </c>
      <c r="F19" s="11" t="s">
        <v>71</v>
      </c>
      <c r="G19" s="7"/>
      <c r="H19" s="4">
        <f>+H18+1</f>
        <v>215</v>
      </c>
      <c r="I19" s="4" t="s">
        <v>49</v>
      </c>
      <c r="J19" s="11" t="s">
        <v>65</v>
      </c>
      <c r="K19" s="11" t="s">
        <v>72</v>
      </c>
      <c r="L19" s="13" t="s">
        <v>88</v>
      </c>
      <c r="M19" s="9"/>
      <c r="N19" s="3">
        <f>+N18+1</f>
        <v>315</v>
      </c>
      <c r="O19" s="4" t="s">
        <v>104</v>
      </c>
      <c r="P19" s="11" t="s">
        <v>65</v>
      </c>
      <c r="Q19" s="11"/>
      <c r="R19" s="13"/>
    </row>
  </sheetData>
  <mergeCells count="3">
    <mergeCell ref="B2:F2"/>
    <mergeCell ref="H2:L2"/>
    <mergeCell ref="N2:R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38F3-958F-4F12-836E-3A12444D17CE}">
  <dimension ref="A1:B8"/>
  <sheetViews>
    <sheetView workbookViewId="0">
      <selection activeCell="B16" sqref="B16"/>
    </sheetView>
  </sheetViews>
  <sheetFormatPr defaultRowHeight="14.4" x14ac:dyDescent="0.3"/>
  <cols>
    <col min="1" max="1" width="35" customWidth="1"/>
    <col min="2" max="2" width="24.5546875" customWidth="1"/>
  </cols>
  <sheetData>
    <row r="1" spans="1:2" x14ac:dyDescent="0.3">
      <c r="A1" t="s">
        <v>122</v>
      </c>
      <c r="B1" t="s">
        <v>123</v>
      </c>
    </row>
    <row r="2" spans="1:2" x14ac:dyDescent="0.3">
      <c r="A2" t="s">
        <v>133</v>
      </c>
      <c r="B2" t="s">
        <v>124</v>
      </c>
    </row>
    <row r="3" spans="1:2" x14ac:dyDescent="0.3">
      <c r="A3" t="s">
        <v>136</v>
      </c>
      <c r="B3" t="s">
        <v>125</v>
      </c>
    </row>
    <row r="4" spans="1:2" x14ac:dyDescent="0.3">
      <c r="A4" t="s">
        <v>134</v>
      </c>
      <c r="B4" t="s">
        <v>126</v>
      </c>
    </row>
    <row r="5" spans="1:2" x14ac:dyDescent="0.3">
      <c r="A5" t="s">
        <v>135</v>
      </c>
      <c r="B5" t="s">
        <v>127</v>
      </c>
    </row>
    <row r="6" spans="1:2" x14ac:dyDescent="0.3">
      <c r="A6" t="s">
        <v>131</v>
      </c>
      <c r="B6" t="s">
        <v>128</v>
      </c>
    </row>
    <row r="7" spans="1:2" x14ac:dyDescent="0.3">
      <c r="A7" t="s">
        <v>132</v>
      </c>
      <c r="B7" t="s">
        <v>129</v>
      </c>
    </row>
    <row r="8" spans="1:2" x14ac:dyDescent="0.3">
      <c r="A8" t="s">
        <v>130</v>
      </c>
      <c r="B8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I_O</vt:lpstr>
      <vt:lpstr>Ethernet 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</dc:creator>
  <cp:lastModifiedBy>Jose Rodriguez</cp:lastModifiedBy>
  <dcterms:created xsi:type="dcterms:W3CDTF">2025-08-23T20:43:39Z</dcterms:created>
  <dcterms:modified xsi:type="dcterms:W3CDTF">2025-12-03T18:47:23Z</dcterms:modified>
</cp:coreProperties>
</file>